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pex" sheetId="2" state="visible" r:id="rId2"/>
    <sheet xmlns:r="http://schemas.openxmlformats.org/officeDocument/2006/relationships" name="Ops Summary" sheetId="3" state="visible" r:id="rId3"/>
  </sheets>
  <definedNames>
    <definedName name="_xlnm.Print_Titles" localSheetId="0">'Assumptions'!$1:$2</definedName>
    <definedName name="_xlnm.Print_Titles" localSheetId="1">'Capex'!$1:$2</definedName>
    <definedName name="_xlnm.Print_Titles" localSheetId="2">'Ops Summary'!$1:$2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sz val="11"/>
    </font>
    <font>
      <name val="Segoe UI"/>
      <b val="1"/>
      <color rgb="FF002060"/>
      <sz val="16"/>
    </font>
    <font>
      <name val="Segoe UI"/>
      <i val="1"/>
      <color rgb="FFFC7134"/>
      <sz val="10"/>
    </font>
    <font>
      <name val="Segoe UI"/>
      <b val="1"/>
      <color rgb="FFFFFFFF"/>
      <sz val="11"/>
    </font>
    <font>
      <name val="Segoe UI"/>
      <color rgb="FF000000"/>
      <sz val="10"/>
    </font>
    <font>
      <name val="Segoe UI"/>
      <color theme="1"/>
      <sz val="11"/>
    </font>
    <font>
      <name val="Segoe UI"/>
      <b val="1"/>
      <color rgb="FF000000"/>
      <sz val="10"/>
    </font>
    <font>
      <name val="Segoe U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1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8" fillId="2" borderId="0" pivotButton="0" quotePrefix="0" xfId="0"/>
    <xf numFmtId="164" fontId="8" fillId="2" borderId="0" applyAlignment="1" pivotButton="0" quotePrefix="0" xfId="0">
      <alignment horizontal="right"/>
    </xf>
    <xf numFmtId="165" fontId="8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2 Capex by Category ($B)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'Capex'!B4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'Capex'!$A$5:$A$10</f>
            </numRef>
          </cat>
          <val>
            <numRef>
              <f>'Capex'!$B$5:$B$10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48" customWidth="1" min="4" max="4"/>
  </cols>
  <sheetData>
    <row r="1">
      <c r="A1" s="1" t="inlineStr">
        <is>
          <t>Phase 2 Financial Model - Assumptions</t>
        </is>
      </c>
      <c r="B1" s="2" t="n"/>
      <c r="C1" s="2" t="n"/>
      <c r="D1" s="2" t="n"/>
    </row>
    <row r="2">
      <c r="A2" s="3" t="inlineStr">
        <is>
          <t>Illustrative only - not an offering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Units</t>
        </is>
      </c>
      <c r="D4" s="4" t="inlineStr">
        <is>
          <t>Notes</t>
        </is>
      </c>
    </row>
    <row r="5">
      <c r="A5" s="5" t="inlineStr">
        <is>
          <t>Phase 2 Capex</t>
        </is>
      </c>
      <c r="B5" s="6" t="n">
        <v>6.2</v>
      </c>
      <c r="C5" s="5" t="inlineStr">
        <is>
          <t>$B</t>
        </is>
      </c>
      <c r="D5" s="5" t="inlineStr">
        <is>
          <t>Illustrative</t>
        </is>
      </c>
    </row>
    <row r="6">
      <c r="A6" s="5" t="inlineStr">
        <is>
          <t>Train count (Phase 2)</t>
        </is>
      </c>
      <c r="B6" s="6" t="n">
        <v>2</v>
      </c>
      <c r="C6" s="5" t="inlineStr">
        <is>
          <t>#</t>
        </is>
      </c>
      <c r="D6" s="5" t="inlineStr"/>
    </row>
    <row r="7">
      <c r="A7" s="5" t="inlineStr">
        <is>
          <t>Nameplate capacity per train</t>
        </is>
      </c>
      <c r="B7" s="6" t="n">
        <v>6</v>
      </c>
      <c r="C7" s="5" t="inlineStr">
        <is>
          <t>MTPA</t>
        </is>
      </c>
      <c r="D7" s="5" t="inlineStr"/>
    </row>
    <row r="8">
      <c r="A8" s="5" t="inlineStr">
        <is>
          <t>Opex per tonne</t>
        </is>
      </c>
      <c r="B8" s="6" t="n">
        <v>35</v>
      </c>
      <c r="C8" s="5" t="inlineStr">
        <is>
          <t>$/t</t>
        </is>
      </c>
      <c r="D8" s="5" t="inlineStr">
        <is>
          <t>Annualized</t>
        </is>
      </c>
    </row>
    <row r="9">
      <c r="A9" s="5" t="inlineStr">
        <is>
          <t>Henry Hub price (flat)</t>
        </is>
      </c>
      <c r="B9" s="6" t="n">
        <v>3.75</v>
      </c>
      <c r="C9" s="5" t="inlineStr">
        <is>
          <t>$/MMBtu</t>
        </is>
      </c>
      <c r="D9" s="5" t="inlineStr">
        <is>
          <t>Flat assumption</t>
        </is>
      </c>
    </row>
    <row r="10">
      <c r="A10" s="5" t="inlineStr">
        <is>
          <t>SPA fixed fee</t>
        </is>
      </c>
      <c r="B10" s="6" t="n">
        <v>2.5</v>
      </c>
      <c r="C10" s="5" t="inlineStr">
        <is>
          <t>$/MMBtu</t>
        </is>
      </c>
      <c r="D10" s="5" t="inlineStr"/>
    </row>
    <row r="11">
      <c r="A11" s="5" t="inlineStr">
        <is>
          <t>SPA variable (115% HH + fee)</t>
        </is>
      </c>
      <c r="B11" s="7">
        <f>E7*1.15+E8</f>
        <v/>
      </c>
      <c r="C11" s="5" t="inlineStr">
        <is>
          <t>$/MMBtu</t>
        </is>
      </c>
      <c r="D11" s="5" t="inlineStr">
        <is>
          <t>HH linked</t>
        </is>
      </c>
    </row>
    <row r="12">
      <c r="A12" s="5" t="inlineStr">
        <is>
          <t>WACC</t>
        </is>
      </c>
      <c r="B12" s="6" t="n">
        <v>8</v>
      </c>
      <c r="C12" s="5" t="inlineStr">
        <is>
          <t>%</t>
        </is>
      </c>
      <c r="D12" s="5" t="inlineStr"/>
    </row>
    <row r="13">
      <c r="A13" s="5" t="inlineStr">
        <is>
          <t>Contract term</t>
        </is>
      </c>
      <c r="B13" s="6" t="n">
        <v>20</v>
      </c>
      <c r="C13" s="5" t="inlineStr">
        <is>
          <t>years</t>
        </is>
      </c>
      <c r="D13" s="5" t="inlineStr"/>
    </row>
    <row r="14">
      <c r="A14" s="5" t="inlineStr">
        <is>
          <t>Tax rate</t>
        </is>
      </c>
      <c r="B14" s="6" t="n">
        <v>21</v>
      </c>
      <c r="C14" s="5" t="inlineStr">
        <is>
          <t>%</t>
        </is>
      </c>
      <c r="D14" s="5" t="inlineStr"/>
    </row>
  </sheetData>
  <mergeCells count="2">
    <mergeCell ref="A1:D1"/>
    <mergeCell ref="A2:D2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Phase 2 Capex Buildup</t>
        </is>
      </c>
      <c r="B1" s="2" t="n"/>
      <c r="C1" s="2" t="n"/>
    </row>
    <row r="2">
      <c r="A2" s="3" t="inlineStr">
        <is>
          <t>Illustrative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Category</t>
        </is>
      </c>
      <c r="B4" s="4" t="inlineStr">
        <is>
          <t>Capex ($B)</t>
        </is>
      </c>
      <c r="C4" s="4" t="inlineStr">
        <is>
          <t>% of Total</t>
        </is>
      </c>
    </row>
    <row r="5">
      <c r="A5" s="8" t="inlineStr">
        <is>
          <t>EPC - Liquefaction</t>
        </is>
      </c>
      <c r="B5" s="9" t="n">
        <v>3.6</v>
      </c>
      <c r="C5" s="10">
        <f>B5/SUM($B$5:$B$10)</f>
        <v/>
      </c>
    </row>
    <row r="6">
      <c r="A6" s="8" t="inlineStr">
        <is>
          <t>EPC - Storage &amp; Marine</t>
        </is>
      </c>
      <c r="B6" s="9" t="n">
        <v>0.8</v>
      </c>
      <c r="C6" s="10">
        <f>B6/SUM($B$5:$B$10)</f>
        <v/>
      </c>
    </row>
    <row r="7">
      <c r="A7" s="8" t="inlineStr">
        <is>
          <t>Owner's Costs</t>
        </is>
      </c>
      <c r="B7" s="9" t="n">
        <v>0.4</v>
      </c>
      <c r="C7" s="10">
        <f>B7/SUM($B$5:$B$10)</f>
        <v/>
      </c>
    </row>
    <row r="8">
      <c r="A8" s="8" t="inlineStr">
        <is>
          <t>Development &amp; Permitting</t>
        </is>
      </c>
      <c r="B8" s="9" t="n">
        <v>0.2</v>
      </c>
      <c r="C8" s="10">
        <f>B8/SUM($B$5:$B$10)</f>
        <v/>
      </c>
    </row>
    <row r="9">
      <c r="A9" s="8" t="inlineStr">
        <is>
          <t>Contingency</t>
        </is>
      </c>
      <c r="B9" s="9" t="n">
        <v>0.7</v>
      </c>
      <c r="C9" s="10">
        <f>B9/SUM($B$5:$B$10)</f>
        <v/>
      </c>
    </row>
    <row r="10">
      <c r="A10" s="8" t="inlineStr">
        <is>
          <t>Financing Costs (capitalized)</t>
        </is>
      </c>
      <c r="B10" s="9" t="n">
        <v>0.5</v>
      </c>
      <c r="C10" s="10">
        <f>B10/SUM($B$5:$B$10)</f>
        <v/>
      </c>
    </row>
    <row r="11">
      <c r="A11" s="11" t="inlineStr">
        <is>
          <t>TOTAL</t>
        </is>
      </c>
      <c r="B11" s="12">
        <f>SUM(B5:B10)</f>
        <v/>
      </c>
      <c r="C11" s="13" t="n">
        <v>1</v>
      </c>
    </row>
  </sheetData>
  <mergeCells count="2">
    <mergeCell ref="A1:C1"/>
    <mergeCell ref="A2:C2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30" customWidth="1" min="4" max="4"/>
  </cols>
  <sheetData>
    <row r="1">
      <c r="A1" s="1" t="inlineStr">
        <is>
          <t>Phase 2 Annual Operating Summary (Illustrative)</t>
        </is>
      </c>
      <c r="B1" s="2" t="n"/>
      <c r="C1" s="2" t="n"/>
      <c r="D1" s="2" t="n"/>
    </row>
    <row r="2">
      <c r="A2" s="3" t="inlineStr">
        <is>
          <t>Per train, steady state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Metric</t>
        </is>
      </c>
      <c r="B4" s="4" t="inlineStr">
        <is>
          <t>Per Train</t>
        </is>
      </c>
      <c r="C4" s="4" t="inlineStr">
        <is>
          <t>Phase 2 Total</t>
        </is>
      </c>
      <c r="D4" s="4" t="inlineStr">
        <is>
          <t>Notes</t>
        </is>
      </c>
    </row>
    <row r="5">
      <c r="A5" s="14" t="inlineStr">
        <is>
          <t>Nameplate capacity (MTPA)</t>
        </is>
      </c>
      <c r="B5" s="6" t="n">
        <v>6</v>
      </c>
      <c r="C5" s="6" t="n">
        <v>12</v>
      </c>
      <c r="D5" s="5" t="inlineStr"/>
    </row>
    <row r="6">
      <c r="A6" s="14" t="inlineStr">
        <is>
          <t>Expected availability (%)</t>
        </is>
      </c>
      <c r="B6" s="6" t="n">
        <v>95</v>
      </c>
      <c r="C6" s="6" t="n">
        <v>95</v>
      </c>
      <c r="D6" s="5" t="inlineStr">
        <is>
          <t>TMY</t>
        </is>
      </c>
    </row>
    <row r="7">
      <c r="A7" s="14" t="inlineStr">
        <is>
          <t>Deliverable LNG (MTPA)</t>
        </is>
      </c>
      <c r="B7" s="6" t="n">
        <v>5.7</v>
      </c>
      <c r="C7" s="6" t="n">
        <v>11.4</v>
      </c>
      <c r="D7" s="5" t="inlineStr"/>
    </row>
    <row r="8">
      <c r="A8" s="14" t="inlineStr">
        <is>
          <t>Henry Hub feed gas (MMBtu, B)</t>
        </is>
      </c>
      <c r="B8" s="6" t="n">
        <v>320</v>
      </c>
      <c r="C8" s="6" t="n">
        <v>640</v>
      </c>
      <c r="D8" s="5" t="inlineStr">
        <is>
          <t>Illustrative</t>
        </is>
      </c>
    </row>
    <row r="9">
      <c r="A9" s="14" t="inlineStr">
        <is>
          <t>Revenue ($B, illustrative)</t>
        </is>
      </c>
      <c r="B9" s="6" t="n">
        <v>2.8</v>
      </c>
      <c r="C9" s="6" t="n">
        <v>5.6</v>
      </c>
      <c r="D9" s="5" t="inlineStr">
        <is>
          <t>HH + fee</t>
        </is>
      </c>
    </row>
    <row r="10">
      <c r="A10" s="14" t="inlineStr">
        <is>
          <t>Opex ($B)</t>
        </is>
      </c>
      <c r="B10" s="6" t="n">
        <v>0.2</v>
      </c>
      <c r="C10" s="6" t="n">
        <v>0.4</v>
      </c>
      <c r="D10" s="5" t="inlineStr"/>
    </row>
    <row r="11">
      <c r="A11" s="14" t="inlineStr">
        <is>
          <t>EBITDA ($B)</t>
        </is>
      </c>
      <c r="B11" s="6" t="n">
        <v>2.6</v>
      </c>
      <c r="C11" s="6" t="n">
        <v>5.2</v>
      </c>
      <c r="D11" s="5" t="inlineStr"/>
    </row>
  </sheetData>
  <mergeCells count="2">
    <mergeCell ref="A1:D1"/>
    <mergeCell ref="A2:D2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2026-04-16T04:09:17Z</dcterms:created>
  <dcterms:modified xmlns:dcterms="http://purl.org/dc/terms/" xmlns:xsi="http://www.w3.org/2001/XMLSchema-instance" xsi:type="dcterms:W3CDTF">2026-04-16T04:09:17Z</dcterms:modified>
</cp:coreProperties>
</file>